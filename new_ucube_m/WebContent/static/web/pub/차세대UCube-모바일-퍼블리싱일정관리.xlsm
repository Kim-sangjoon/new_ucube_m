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<sst xmlns="http://schemas.openxmlformats.org/spreadsheetml/2006/main" count="1602" uniqueCount="342">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</sst>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26" Type="http://schemas.openxmlformats.org/officeDocument/2006/relationships/printerSettings" Target="../printerSettings/printerSettings1.bin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drawing" Target="../drawings/drawing1.xm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3"/>
  <sheetViews>
    <sheetView tabSelected="1" workbookViewId="0">
      <pane ySplit="2" topLeftCell="A80" activePane="bottomLeft" state="frozen"/>
      <selection pane="bottomLeft" activeCell="K97" sqref="K97:K98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"&amp;COUNTA(B3:B10063)&amp;"건"</f>
        <v>퍼블리싱 총물량 143건</v>
      </c>
      <c r="C1" s="29"/>
      <c r="D1" s="29"/>
      <c r="E1" s="32" t="s">
        <v>336</v>
      </c>
      <c r="F1" s="33">
        <f>COUNTA(K3:K10063) / COUNTA(B3:B10063)</f>
        <v>0.67132867132867136</v>
      </c>
      <c r="G1" s="26"/>
      <c r="H1" s="30"/>
      <c r="I1" s="30"/>
      <c r="J1" s="30"/>
      <c r="K1" s="30"/>
      <c r="L1" s="31" t="str">
        <f>"총완료 "&amp;COUNTA(K3:K10063)&amp;"건"</f>
        <v>총완료 96건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267</v>
      </c>
      <c r="C109" s="4" t="s">
        <v>55</v>
      </c>
      <c r="D109" s="4" t="s">
        <v>317</v>
      </c>
      <c r="E109" s="5">
        <v>1</v>
      </c>
      <c r="F109" s="6" t="s">
        <v>14</v>
      </c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268</v>
      </c>
      <c r="C110" s="4" t="s">
        <v>55</v>
      </c>
      <c r="D110" s="4" t="s">
        <v>318</v>
      </c>
      <c r="E110" s="5">
        <v>1</v>
      </c>
      <c r="F110" s="6" t="s">
        <v>14</v>
      </c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269</v>
      </c>
      <c r="C111" s="4" t="s">
        <v>55</v>
      </c>
      <c r="D111" s="4" t="s">
        <v>319</v>
      </c>
      <c r="E111" s="5">
        <v>1</v>
      </c>
      <c r="F111" s="6" t="s">
        <v>14</v>
      </c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270</v>
      </c>
      <c r="C112" s="4" t="s">
        <v>55</v>
      </c>
      <c r="D112" s="4" t="s">
        <v>320</v>
      </c>
      <c r="E112" s="5">
        <v>1</v>
      </c>
      <c r="F112" s="6" t="s">
        <v>14</v>
      </c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271</v>
      </c>
      <c r="C113" s="4" t="s">
        <v>55</v>
      </c>
      <c r="D113" s="4" t="s">
        <v>321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272</v>
      </c>
      <c r="C114" s="4" t="s">
        <v>55</v>
      </c>
      <c r="D114" s="4" t="s">
        <v>322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273</v>
      </c>
      <c r="C115" s="4" t="s">
        <v>55</v>
      </c>
      <c r="D115" s="4" t="s">
        <v>323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274</v>
      </c>
      <c r="C116" s="4" t="s">
        <v>55</v>
      </c>
      <c r="D116" s="4" t="s">
        <v>324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275</v>
      </c>
      <c r="C117" s="4" t="s">
        <v>55</v>
      </c>
      <c r="D117" s="4" t="s">
        <v>325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276</v>
      </c>
      <c r="C118" s="4" t="s">
        <v>55</v>
      </c>
      <c r="D118" s="4" t="s">
        <v>326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277</v>
      </c>
      <c r="C119" s="4" t="s">
        <v>55</v>
      </c>
      <c r="D119" s="4" t="s">
        <v>327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278</v>
      </c>
      <c r="C120" s="4" t="s">
        <v>55</v>
      </c>
      <c r="D120" s="4" t="s">
        <v>328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 t="s">
        <v>279</v>
      </c>
      <c r="M120" s="4"/>
    </row>
    <row r="121" spans="2:13" x14ac:dyDescent="0.3">
      <c r="B121" s="4" t="s">
        <v>280</v>
      </c>
      <c r="C121" s="4" t="s">
        <v>55</v>
      </c>
      <c r="D121" s="4" t="s">
        <v>329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28" t="s">
        <v>281</v>
      </c>
      <c r="C122" s="4" t="s">
        <v>55</v>
      </c>
      <c r="D122" s="4" t="s">
        <v>330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282</v>
      </c>
      <c r="C123" s="4" t="s">
        <v>55</v>
      </c>
      <c r="D123" s="4" t="s">
        <v>331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283</v>
      </c>
      <c r="C124" s="4" t="s">
        <v>55</v>
      </c>
      <c r="D124" s="4" t="s">
        <v>332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284</v>
      </c>
      <c r="C125" s="4" t="s">
        <v>55</v>
      </c>
      <c r="D125" s="4" t="s">
        <v>333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285</v>
      </c>
      <c r="C126" s="4" t="s">
        <v>55</v>
      </c>
      <c r="D126" s="4" t="s">
        <v>334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286</v>
      </c>
      <c r="C127" s="4" t="s">
        <v>55</v>
      </c>
      <c r="D127" s="4" t="s">
        <v>335</v>
      </c>
      <c r="E127" s="5">
        <v>0</v>
      </c>
      <c r="F127" s="6"/>
      <c r="G127" s="14" t="s">
        <v>152</v>
      </c>
      <c r="H127" s="9" t="s">
        <v>287</v>
      </c>
      <c r="I127" s="6" t="s">
        <v>16</v>
      </c>
      <c r="J127" s="6"/>
      <c r="K127" s="6"/>
      <c r="L127" s="10"/>
      <c r="M127" s="4"/>
    </row>
    <row r="128" spans="2:13" x14ac:dyDescent="0.3">
      <c r="B128" s="4" t="s">
        <v>341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341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341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341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341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341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341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341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341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09" r:id="rId105" display="http://127.0.0.1:63737/websquare/websquare.html?w2Config=/.settings/config.xml&amp;w2xPath=/WebContent/static/web/pub/W13_rateManufacturingAssociationChange.xml"/>
    <hyperlink ref="G110" r:id="rId106" display="http://127.0.0.1:63737/websquare/websquare.html?w2Config=/.settings/config.xml&amp;w2xPath=/WebContent/static/web/pub/W13_enterSearchBoxSelectSearchBox.xml"/>
    <hyperlink ref="G111" r:id="rId107" display="http://127.0.0.1:63737/websquare/websquare.html?w2Config=/.settings/config.xml&amp;w2xPath=/WebContent/static/web/pub/W13_requestChanges.xml"/>
    <hyperlink ref="G112" r:id="rId108" display="http://127.0.0.1:63737/websquare/websquare.html?w2Config=/.settings/config.xml&amp;w2xPath=/WebContent/static/web/pub/W13_documentVerification.xml"/>
    <hyperlink ref="G113" r:id="rId109" display="http://127.0.0.1:63737/websquare/websquare.html?w2Config=/.settings/config.xml&amp;w2xPath=/WebContent/static/web/pub/W14_inquiryChangeAdditionalServices.xml"/>
    <hyperlink ref="G114" r:id="rId110" display="http://127.0.0.1:63737/websquare/websquare.html?w2Config=/.settings/config.xml&amp;w2xPath=/WebContent/static/web/pub/W14_enterDeleteMode.xml"/>
    <hyperlink ref="G115" r:id="rId111" display="http://127.0.0.1:63737/websquare/websquare.html?w2Config=/.settings/config.xml&amp;w2xPath=/WebContent/static/web/pub/W14_deleteWaiting.xml"/>
    <hyperlink ref="G116" r:id="rId112" display="http://127.0.0.1:63737/websquare/websquare.html?w2Config=/.settings/config.xml&amp;w2xPath=/WebContent/static/web/pub/W14_fullListSupplementaryServices.xml"/>
    <hyperlink ref="G117" r:id="rId113" display="http://127.0.0.1:63737/websquare/websquare.html?w2Config=/.settings/config.xml&amp;w2xPath=/WebContent/static/web/pub/W14_selectProductYouWantAdd.xml"/>
    <hyperlink ref="G118" r:id="rId114" display="http://127.0.0.1:63737/websquare/websquare.html?w2Config=/.settings/config.xml&amp;w2xPath=/WebContent/static/web/pub/W14_productAddedScreen.xml"/>
    <hyperlink ref="G119" r:id="rId115" display="http://127.0.0.1:63737/websquare/websquare.html?w2Config=/.settings/config.xml&amp;w2xPath=/WebContent/static/web/pub/W14_messageCheckChanges.xml"/>
    <hyperlink ref="G120" r:id="rId116" display="http://127.0.0.1:63737/websquare/websquare.html?w2Config=/.settings/config.xml&amp;w2xPath=/WebContent/static/web/pub/W14_deleteRecoveryList.xml"/>
    <hyperlink ref="G121" r:id="rId117" display="http://127.0.0.1:63737/websquare/websquare.html?w2Config=/.settings/config.xml&amp;w2xPath=/WebContent/static/web/pub/W16_sendCustomerConsentRequest.xml"/>
    <hyperlink ref="G122" r:id="rId118" display="http://127.0.0.1:63737/websquare/websquare.html?w2Config=/.settings/config.xml&amp;w2xPath=/WebContent/static/web/pub/W17_confirmChanges.xml"/>
    <hyperlink ref="G123" r:id="rId119" display="http://127.0.0.1:63737/websquare/websquare.html?w2Config=/.settings/config.xml&amp;w2xPath=/WebContent/static/web/pub/W17_changeApplicationDocumentDetails.xml"/>
    <hyperlink ref="G124" r:id="rId120" display="http://127.0.0.1:63737/websquare/websquare.html?w2Config=/.settings/config.xml&amp;w2xPath=/WebContent/static/web/pub/W17_enterElectronicSignatureInformation.xml"/>
    <hyperlink ref="G125" r:id="rId121" display="http://127.0.0.1:63737/websquare/websquare.html?w2Config=/.settings/config.xml&amp;w2xPath=/WebContent/static/web/pub/W17_waitingElectronicSignatures.xml"/>
    <hyperlink ref="G126" r:id="rId122" display="http://127.0.0.1:63737/websquare/websquare.html?w2Config=/.settings/config.xml&amp;w2xPath=/WebContent/static/web/pub/W17_attachRequiredDocuments.xml"/>
    <hyperlink ref="G127" r:id="rId123" display="http://127.0.0.1:63737/websquare/websquare.html?w2Config=/.settings/config.xml&amp;w2xPath=/WebContent/static/web/pub/W17_changeCompleted.xml"/>
    <hyperlink ref="G91" r:id="rId124"/>
    <hyperlink ref="G105" r:id="rId125"/>
  </hyperlinks>
  <pageMargins left="0.7" right="0.7" top="0.75" bottom="0.75" header="0.3" footer="0.3"/>
  <pageSetup paperSize="9" orientation="portrait" horizontalDpi="1200" verticalDpi="1200" r:id="rId126"/>
  <drawing r:id="rId12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2022-03-03T05:16:18Z</dcterms:modified>
</cp:coreProperties>
</file>