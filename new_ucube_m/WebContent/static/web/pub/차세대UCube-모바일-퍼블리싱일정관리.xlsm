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7F00AA94-633B-45BB-99A8-94542030FA5D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<sst xmlns="http://schemas.openxmlformats.org/spreadsheetml/2006/main" count="1584" uniqueCount="339">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</sst>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printerSettings" Target="../printerSettings/printerSettings1.bin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drawing" Target="../drawings/drawing1.xm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2"/>
  <sheetViews>
    <sheetView tabSelected="1" workbookViewId="0">
      <pane ySplit="2" topLeftCell="A81" activePane="bottomLeft" state="frozen"/>
      <selection pane="bottomLeft" activeCell="F106" sqref="F106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"&amp;COUNTA(B3:B10062)&amp;"건"</f>
        <v>퍼블리싱 총물량 144건</v>
      </c>
      <c r="C1" s="29"/>
      <c r="D1" s="29"/>
      <c r="E1" s="32" t="s">
        <v>336</v>
      </c>
      <c r="F1" s="33">
        <f>COUNTA(K3:K10062) / COUNTA(B3:B10062)</f>
        <v>0.58333333333333337</v>
      </c>
      <c r="G1" s="30"/>
      <c r="H1" s="30"/>
      <c r="I1" s="30"/>
      <c r="J1" s="30"/>
      <c r="K1" s="30"/>
      <c r="L1" s="31" t="str">
        <f>"총완료 "&amp;COUNTA(K3:K10062)&amp;"건"</f>
        <v>총완료 84건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/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/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/>
      <c r="K92" s="7"/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/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0.1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264</v>
      </c>
      <c r="C105" s="4" t="s">
        <v>55</v>
      </c>
      <c r="D105" s="4" t="s">
        <v>314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265</v>
      </c>
      <c r="C106" s="4" t="s">
        <v>55</v>
      </c>
      <c r="D106" s="4" t="s">
        <v>315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266</v>
      </c>
      <c r="C107" s="4" t="s">
        <v>55</v>
      </c>
      <c r="D107" s="4" t="s">
        <v>316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267</v>
      </c>
      <c r="C108" s="4" t="s">
        <v>55</v>
      </c>
      <c r="D108" s="4" t="s">
        <v>317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268</v>
      </c>
      <c r="C109" s="4" t="s">
        <v>55</v>
      </c>
      <c r="D109" s="4" t="s">
        <v>318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269</v>
      </c>
      <c r="C110" s="4" t="s">
        <v>55</v>
      </c>
      <c r="D110" s="4" t="s">
        <v>319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270</v>
      </c>
      <c r="C111" s="4" t="s">
        <v>55</v>
      </c>
      <c r="D111" s="4" t="s">
        <v>320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271</v>
      </c>
      <c r="C112" s="4" t="s">
        <v>55</v>
      </c>
      <c r="D112" s="4" t="s">
        <v>321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272</v>
      </c>
      <c r="C113" s="4" t="s">
        <v>55</v>
      </c>
      <c r="D113" s="4" t="s">
        <v>322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273</v>
      </c>
      <c r="C114" s="4" t="s">
        <v>55</v>
      </c>
      <c r="D114" s="4" t="s">
        <v>323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274</v>
      </c>
      <c r="C115" s="4" t="s">
        <v>55</v>
      </c>
      <c r="D115" s="4" t="s">
        <v>324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275</v>
      </c>
      <c r="C116" s="4" t="s">
        <v>55</v>
      </c>
      <c r="D116" s="4" t="s">
        <v>325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276</v>
      </c>
      <c r="C117" s="4" t="s">
        <v>55</v>
      </c>
      <c r="D117" s="4" t="s">
        <v>326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277</v>
      </c>
      <c r="C118" s="4" t="s">
        <v>55</v>
      </c>
      <c r="D118" s="4" t="s">
        <v>327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278</v>
      </c>
      <c r="C119" s="4" t="s">
        <v>55</v>
      </c>
      <c r="D119" s="4" t="s">
        <v>328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 t="s">
        <v>279</v>
      </c>
      <c r="M119" s="4"/>
    </row>
    <row r="120" spans="2:13" x14ac:dyDescent="0.3">
      <c r="B120" s="4" t="s">
        <v>280</v>
      </c>
      <c r="C120" s="4" t="s">
        <v>55</v>
      </c>
      <c r="D120" s="4" t="s">
        <v>329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28" t="s">
        <v>281</v>
      </c>
      <c r="C121" s="4" t="s">
        <v>55</v>
      </c>
      <c r="D121" s="4" t="s">
        <v>330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282</v>
      </c>
      <c r="C122" s="4" t="s">
        <v>55</v>
      </c>
      <c r="D122" s="4" t="s">
        <v>331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283</v>
      </c>
      <c r="C123" s="4" t="s">
        <v>55</v>
      </c>
      <c r="D123" s="4" t="s">
        <v>332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284</v>
      </c>
      <c r="C124" s="4" t="s">
        <v>55</v>
      </c>
      <c r="D124" s="4" t="s">
        <v>333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285</v>
      </c>
      <c r="C125" s="4" t="s">
        <v>55</v>
      </c>
      <c r="D125" s="4" t="s">
        <v>334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286</v>
      </c>
      <c r="C126" s="4" t="s">
        <v>55</v>
      </c>
      <c r="D126" s="4" t="s">
        <v>335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 t="s">
        <v>39</v>
      </c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5" r:id="rId102" display="http://127.0.0.1:63737/websquare/websquare.html?w2Config=/.settings/config.xml&amp;w2xPath=/WebContent/static/web/pub/W12_statusHomeOpening.xml" xr:uid="{00000000-0004-0000-0000-000065000000}"/>
    <hyperlink ref="G106" r:id="rId103" display="http://127.0.0.1:63737/websquare/websquare.html?w2Config=/.settings/config.xml&amp;w2xPath=/WebContent/static/web/pub/W12_evaluationIsUnderway.xml" xr:uid="{00000000-0004-0000-0000-000066000000}"/>
    <hyperlink ref="G107" r:id="rId104" display="http://127.0.0.1:63737/websquare/websquare.html?w2Config=/.settings/config.xml&amp;w2xPath=/WebContent/static/web/pub/W12_openingStageIsUnderway.xml" xr:uid="{00000000-0004-0000-0000-000067000000}"/>
    <hyperlink ref="G108" r:id="rId105" display="http://127.0.0.1:63737/websquare/websquare.html?w2Config=/.settings/config.xml&amp;w2xPath=/WebContent/static/web/pub/W13_rateManufacturingAssociationChange.xml" xr:uid="{00000000-0004-0000-0000-000068000000}"/>
    <hyperlink ref="G109" r:id="rId106" display="http://127.0.0.1:63737/websquare/websquare.html?w2Config=/.settings/config.xml&amp;w2xPath=/WebContent/static/web/pub/W13_enterSearchBoxSelectSearchBox.xml" xr:uid="{00000000-0004-0000-0000-000069000000}"/>
    <hyperlink ref="G110" r:id="rId107" display="http://127.0.0.1:63737/websquare/websquare.html?w2Config=/.settings/config.xml&amp;w2xPath=/WebContent/static/web/pub/W13_requestChanges.xml" xr:uid="{00000000-0004-0000-0000-00006A000000}"/>
    <hyperlink ref="G111" r:id="rId108" display="http://127.0.0.1:63737/websquare/websquare.html?w2Config=/.settings/config.xml&amp;w2xPath=/WebContent/static/web/pub/W13_documentVerification.xml" xr:uid="{00000000-0004-0000-0000-00006B000000}"/>
    <hyperlink ref="G112" r:id="rId109" display="http://127.0.0.1:63737/websquare/websquare.html?w2Config=/.settings/config.xml&amp;w2xPath=/WebContent/static/web/pub/W14_inquiryChangeAdditionalServices.xml" xr:uid="{00000000-0004-0000-0000-00006C000000}"/>
    <hyperlink ref="G113" r:id="rId110" display="http://127.0.0.1:63737/websquare/websquare.html?w2Config=/.settings/config.xml&amp;w2xPath=/WebContent/static/web/pub/W14_enterDeleteMode.xml" xr:uid="{00000000-0004-0000-0000-00006D000000}"/>
    <hyperlink ref="G114" r:id="rId111" display="http://127.0.0.1:63737/websquare/websquare.html?w2Config=/.settings/config.xml&amp;w2xPath=/WebContent/static/web/pub/W14_deleteWaiting.xml" xr:uid="{00000000-0004-0000-0000-00006E000000}"/>
    <hyperlink ref="G115" r:id="rId112" display="http://127.0.0.1:63737/websquare/websquare.html?w2Config=/.settings/config.xml&amp;w2xPath=/WebContent/static/web/pub/W14_fullListSupplementaryServices.xml" xr:uid="{00000000-0004-0000-0000-00006F000000}"/>
    <hyperlink ref="G116" r:id="rId113" display="http://127.0.0.1:63737/websquare/websquare.html?w2Config=/.settings/config.xml&amp;w2xPath=/WebContent/static/web/pub/W14_selectProductYouWantAdd.xml" xr:uid="{00000000-0004-0000-0000-000070000000}"/>
    <hyperlink ref="G117" r:id="rId114" display="http://127.0.0.1:63737/websquare/websquare.html?w2Config=/.settings/config.xml&amp;w2xPath=/WebContent/static/web/pub/W14_productAddedScreen.xml" xr:uid="{00000000-0004-0000-0000-000071000000}"/>
    <hyperlink ref="G118" r:id="rId115" display="http://127.0.0.1:63737/websquare/websquare.html?w2Config=/.settings/config.xml&amp;w2xPath=/WebContent/static/web/pub/W14_messageCheckChanges.xml" xr:uid="{00000000-0004-0000-0000-000072000000}"/>
    <hyperlink ref="G119" r:id="rId116" display="http://127.0.0.1:63737/websquare/websquare.html?w2Config=/.settings/config.xml&amp;w2xPath=/WebContent/static/web/pub/W14_deleteRecoveryList.xml" xr:uid="{00000000-0004-0000-0000-000073000000}"/>
    <hyperlink ref="G120" r:id="rId117" display="http://127.0.0.1:63737/websquare/websquare.html?w2Config=/.settings/config.xml&amp;w2xPath=/WebContent/static/web/pub/W16_sendCustomerConsentRequest.xml" xr:uid="{00000000-0004-0000-0000-000074000000}"/>
    <hyperlink ref="G121" r:id="rId118" display="http://127.0.0.1:63737/websquare/websquare.html?w2Config=/.settings/config.xml&amp;w2xPath=/WebContent/static/web/pub/W17_confirmChanges.xml" xr:uid="{00000000-0004-0000-0000-000075000000}"/>
    <hyperlink ref="G122" r:id="rId119" display="http://127.0.0.1:63737/websquare/websquare.html?w2Config=/.settings/config.xml&amp;w2xPath=/WebContent/static/web/pub/W17_changeApplicationDocumentDetails.xml" xr:uid="{00000000-0004-0000-0000-000076000000}"/>
    <hyperlink ref="G123" r:id="rId120" display="http://127.0.0.1:63737/websquare/websquare.html?w2Config=/.settings/config.xml&amp;w2xPath=/WebContent/static/web/pub/W17_enterElectronicSignatureInformation.xml" xr:uid="{00000000-0004-0000-0000-000077000000}"/>
    <hyperlink ref="G124" r:id="rId121" display="http://127.0.0.1:63737/websquare/websquare.html?w2Config=/.settings/config.xml&amp;w2xPath=/WebContent/static/web/pub/W17_waitingElectronicSignatures.xml" xr:uid="{00000000-0004-0000-0000-000078000000}"/>
    <hyperlink ref="G125" r:id="rId122" display="http://127.0.0.1:63737/websquare/websquare.html?w2Config=/.settings/config.xml&amp;w2xPath=/WebContent/static/web/pub/W17_attachRequiredDocuments.xml" xr:uid="{00000000-0004-0000-0000-000079000000}"/>
    <hyperlink ref="G126" r:id="rId123" display="http://127.0.0.1:63737/websquare/websquare.html?w2Config=/.settings/config.xml&amp;w2xPath=/WebContent/static/web/pub/W17_changeCompleted.xml" xr:uid="{00000000-0004-0000-0000-00007A000000}"/>
    <hyperlink ref="G91" r:id="rId124" xr:uid="{A067FEB2-6376-4A73-819C-E855B60CB851}"/>
  </hyperlinks>
  <pageMargins left="0.7" right="0.7" top="0.75" bottom="0.75" header="0.3" footer="0.3"/>
  <pageSetup paperSize="9" orientation="portrait" horizontalDpi="1200" verticalDpi="1200" r:id="rId125"/>
  <drawing r:id="rId12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2022-02-22T06:41:51Z</dcterms:modified>
</cp:coreProperties>
</file>