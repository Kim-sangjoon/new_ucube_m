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FBD55E9-A403-4655-9D98-4231889F65C9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<sst xmlns="http://schemas.openxmlformats.org/spreadsheetml/2006/main" count="1660" uniqueCount="360">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</sst>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printerSettings" Target="../printerSettings/printerSettings1.bin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drawing" Target="../drawings/drawing1.xm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72"/>
  <sheetViews>
    <sheetView tabSelected="1" workbookViewId="0">
      <pane ySplit="2" topLeftCell="A111" activePane="bottomLeft" state="frozen"/>
      <selection pane="bottomLeft" activeCell="F144" sqref="F144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"&amp;COUNTA(B3:B10072)&amp;"건"</f>
        <v>퍼블리싱 총물량 143건</v>
      </c>
      <c r="C1" s="29"/>
      <c r="D1" s="29"/>
      <c r="E1" s="32" t="s">
        <v>336</v>
      </c>
      <c r="F1" s="33">
        <f>COUNTA(K3:K10072) / COUNTA(B3:B10072)</f>
        <v>0.68531468531468531</v>
      </c>
      <c r="G1" s="26"/>
      <c r="H1" s="30"/>
      <c r="I1" s="30"/>
      <c r="J1" s="30"/>
      <c r="K1" s="30"/>
      <c r="L1" s="31" t="str">
        <f>"총완료 "&amp;COUNTA(K3:K10072)&amp;"건"</f>
        <v>총완료 98건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342</v>
      </c>
      <c r="C109" s="4" t="s">
        <v>55</v>
      </c>
      <c r="D109" s="4" t="s">
        <v>351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343</v>
      </c>
      <c r="C110" s="4" t="s">
        <v>55</v>
      </c>
      <c r="D110" s="4" t="s">
        <v>352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344</v>
      </c>
      <c r="C111" s="4" t="s">
        <v>55</v>
      </c>
      <c r="D111" s="4" t="s">
        <v>353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345</v>
      </c>
      <c r="C112" s="4" t="s">
        <v>55</v>
      </c>
      <c r="D112" s="4" t="s">
        <v>354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346</v>
      </c>
      <c r="C113" s="4" t="s">
        <v>55</v>
      </c>
      <c r="D113" s="4" t="s">
        <v>355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347</v>
      </c>
      <c r="C114" s="4" t="s">
        <v>55</v>
      </c>
      <c r="D114" s="4" t="s">
        <v>356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348</v>
      </c>
      <c r="C115" s="4" t="s">
        <v>55</v>
      </c>
      <c r="D115" s="4" t="s">
        <v>357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349</v>
      </c>
      <c r="C116" s="4" t="s">
        <v>55</v>
      </c>
      <c r="D116" s="4" t="s">
        <v>358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350</v>
      </c>
      <c r="C117" s="4" t="s">
        <v>55</v>
      </c>
      <c r="D117" s="4" t="s">
        <v>359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1</v>
      </c>
      <c r="F122" s="6" t="s">
        <v>14</v>
      </c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1</v>
      </c>
      <c r="F123" s="6" t="s">
        <v>14</v>
      </c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1</v>
      </c>
      <c r="F124" s="6" t="s">
        <v>14</v>
      </c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1</v>
      </c>
      <c r="F127" s="6" t="s">
        <v>14</v>
      </c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277</v>
      </c>
      <c r="C128" s="4" t="s">
        <v>55</v>
      </c>
      <c r="D128" s="4" t="s">
        <v>327</v>
      </c>
      <c r="E128" s="5">
        <v>0</v>
      </c>
      <c r="F128" s="6"/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278</v>
      </c>
      <c r="C129" s="4" t="s">
        <v>55</v>
      </c>
      <c r="D129" s="4" t="s">
        <v>328</v>
      </c>
      <c r="E129" s="5">
        <v>0</v>
      </c>
      <c r="F129" s="6"/>
      <c r="G129" s="14" t="s">
        <v>152</v>
      </c>
      <c r="H129" s="9" t="s">
        <v>287</v>
      </c>
      <c r="I129" s="6" t="s">
        <v>16</v>
      </c>
      <c r="J129" s="6"/>
      <c r="K129" s="7"/>
      <c r="L129" s="10" t="s">
        <v>279</v>
      </c>
      <c r="M129" s="4"/>
    </row>
    <row r="130" spans="2:13" x14ac:dyDescent="0.3">
      <c r="B130" s="4" t="s">
        <v>280</v>
      </c>
      <c r="C130" s="4" t="s">
        <v>55</v>
      </c>
      <c r="D130" s="4" t="s">
        <v>329</v>
      </c>
      <c r="E130" s="5">
        <v>0</v>
      </c>
      <c r="F130" s="6"/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28" t="s">
        <v>281</v>
      </c>
      <c r="C131" s="4" t="s">
        <v>55</v>
      </c>
      <c r="D131" s="4" t="s">
        <v>330</v>
      </c>
      <c r="E131" s="5">
        <v>0</v>
      </c>
      <c r="F131" s="6"/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282</v>
      </c>
      <c r="C132" s="4" t="s">
        <v>55</v>
      </c>
      <c r="D132" s="4" t="s">
        <v>331</v>
      </c>
      <c r="E132" s="5">
        <v>0</v>
      </c>
      <c r="F132" s="6"/>
      <c r="G132" s="14" t="s">
        <v>152</v>
      </c>
      <c r="H132" s="9" t="s">
        <v>287</v>
      </c>
      <c r="I132" s="6" t="s">
        <v>16</v>
      </c>
      <c r="J132" s="6"/>
      <c r="K132" s="6"/>
      <c r="L132" s="10"/>
      <c r="M132" s="4"/>
    </row>
    <row r="133" spans="2:13" x14ac:dyDescent="0.3">
      <c r="B133" s="4" t="s">
        <v>283</v>
      </c>
      <c r="C133" s="4" t="s">
        <v>55</v>
      </c>
      <c r="D133" s="4" t="s">
        <v>332</v>
      </c>
      <c r="E133" s="5">
        <v>0</v>
      </c>
      <c r="F133" s="6"/>
      <c r="G133" s="14" t="s">
        <v>152</v>
      </c>
      <c r="H133" s="9" t="s">
        <v>287</v>
      </c>
      <c r="I133" s="6" t="s">
        <v>16</v>
      </c>
      <c r="J133" s="6"/>
      <c r="K133" s="6"/>
      <c r="L133" s="10"/>
      <c r="M133" s="4"/>
    </row>
    <row r="134" spans="2:13" x14ac:dyDescent="0.3">
      <c r="B134" s="4" t="s">
        <v>284</v>
      </c>
      <c r="C134" s="4" t="s">
        <v>55</v>
      </c>
      <c r="D134" s="4" t="s">
        <v>333</v>
      </c>
      <c r="E134" s="5">
        <v>0</v>
      </c>
      <c r="F134" s="6"/>
      <c r="G134" s="14" t="s">
        <v>152</v>
      </c>
      <c r="H134" s="9" t="s">
        <v>287</v>
      </c>
      <c r="I134" s="6" t="s">
        <v>16</v>
      </c>
      <c r="J134" s="6"/>
      <c r="K134" s="6"/>
      <c r="L134" s="10"/>
      <c r="M134" s="4"/>
    </row>
    <row r="135" spans="2:13" x14ac:dyDescent="0.3">
      <c r="B135" s="4" t="s">
        <v>285</v>
      </c>
      <c r="C135" s="4" t="s">
        <v>55</v>
      </c>
      <c r="D135" s="4" t="s">
        <v>334</v>
      </c>
      <c r="E135" s="5">
        <v>0</v>
      </c>
      <c r="F135" s="6"/>
      <c r="G135" s="14" t="s">
        <v>152</v>
      </c>
      <c r="H135" s="9" t="s">
        <v>287</v>
      </c>
      <c r="I135" s="6" t="s">
        <v>16</v>
      </c>
      <c r="J135" s="6"/>
      <c r="K135" s="6"/>
      <c r="L135" s="10"/>
      <c r="M135" s="4"/>
    </row>
    <row r="136" spans="2:13" x14ac:dyDescent="0.3">
      <c r="B136" s="4" t="s">
        <v>286</v>
      </c>
      <c r="C136" s="4" t="s">
        <v>55</v>
      </c>
      <c r="D136" s="4" t="s">
        <v>335</v>
      </c>
      <c r="E136" s="5">
        <v>0</v>
      </c>
      <c r="F136" s="6"/>
      <c r="G136" s="14" t="s">
        <v>152</v>
      </c>
      <c r="H136" s="9" t="s">
        <v>287</v>
      </c>
      <c r="I136" s="6" t="s">
        <v>16</v>
      </c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6" r:id="rId102" display="http://127.0.0.1:63737/websquare/websquare.html?w2Config=/.settings/config.xml&amp;w2xPath=/WebContent/static/web/pub/W12_statusHomeOpening.xml" xr:uid="{00000000-0004-0000-0000-000065000000}"/>
    <hyperlink ref="G107" r:id="rId103" display="http://127.0.0.1:63737/websquare/websquare.html?w2Config=/.settings/config.xml&amp;w2xPath=/WebContent/static/web/pub/W12_evaluationIsUnderway.xml" xr:uid="{00000000-0004-0000-0000-000066000000}"/>
    <hyperlink ref="G108" r:id="rId104" display="http://127.0.0.1:63737/websquare/websquare.html?w2Config=/.settings/config.xml&amp;w2xPath=/WebContent/static/web/pub/W12_openingStageIsUnderway.xml" xr:uid="{00000000-0004-0000-0000-000067000000}"/>
    <hyperlink ref="G118" r:id="rId105" display="http://127.0.0.1:63737/websquare/websquare.html?w2Config=/.settings/config.xml&amp;w2xPath=/WebContent/static/web/pub/W13_rateManufacturingAssociationChange.xml" xr:uid="{00000000-0004-0000-0000-000068000000}"/>
    <hyperlink ref="G119" r:id="rId106" display="http://127.0.0.1:63737/websquare/websquare.html?w2Config=/.settings/config.xml&amp;w2xPath=/WebContent/static/web/pub/W13_enterSearchBoxSelectSearchBox.xml" xr:uid="{00000000-0004-0000-0000-000069000000}"/>
    <hyperlink ref="G120" r:id="rId107" display="http://127.0.0.1:63737/websquare/websquare.html?w2Config=/.settings/config.xml&amp;w2xPath=/WebContent/static/web/pub/W13_requestChanges.xml" xr:uid="{00000000-0004-0000-0000-00006A000000}"/>
    <hyperlink ref="G121" r:id="rId108" display="http://127.0.0.1:63737/websquare/websquare.html?w2Config=/.settings/config.xml&amp;w2xPath=/WebContent/static/web/pub/W13_documentVerification.xml" xr:uid="{00000000-0004-0000-0000-00006B000000}"/>
    <hyperlink ref="G122" r:id="rId109" display="http://127.0.0.1:63737/websquare/websquare.html?w2Config=/.settings/config.xml&amp;w2xPath=/WebContent/static/web/pub/W14_inquiryChangeAdditionalServices.xml" xr:uid="{00000000-0004-0000-0000-00006C000000}"/>
    <hyperlink ref="G123" r:id="rId110" display="http://127.0.0.1:63737/websquare/websquare.html?w2Config=/.settings/config.xml&amp;w2xPath=/WebContent/static/web/pub/W14_enterDeleteMode.xml" xr:uid="{00000000-0004-0000-0000-00006D000000}"/>
    <hyperlink ref="G124" r:id="rId111" display="http://127.0.0.1:63737/websquare/websquare.html?w2Config=/.settings/config.xml&amp;w2xPath=/WebContent/static/web/pub/W14_deleteWaiting.xml" xr:uid="{00000000-0004-0000-0000-00006E000000}"/>
    <hyperlink ref="G125" r:id="rId112" display="http://127.0.0.1:63737/websquare/websquare.html?w2Config=/.settings/config.xml&amp;w2xPath=/WebContent/static/web/pub/W14_fullListSupplementaryServices.xml" xr:uid="{00000000-0004-0000-0000-00006F000000}"/>
    <hyperlink ref="G126" r:id="rId113" display="http://127.0.0.1:63737/websquare/websquare.html?w2Config=/.settings/config.xml&amp;w2xPath=/WebContent/static/web/pub/W14_selectProductYouWantAdd.xml" xr:uid="{00000000-0004-0000-0000-000070000000}"/>
    <hyperlink ref="G127" r:id="rId114" display="http://127.0.0.1:63737/websquare/websquare.html?w2Config=/.settings/config.xml&amp;w2xPath=/WebContent/static/web/pub/W14_productAddedScreen.xml" xr:uid="{00000000-0004-0000-0000-000071000000}"/>
    <hyperlink ref="G128" r:id="rId115" display="http://127.0.0.1:63737/websquare/websquare.html?w2Config=/.settings/config.xml&amp;w2xPath=/WebContent/static/web/pub/W14_messageCheckChanges.xml" xr:uid="{00000000-0004-0000-0000-000072000000}"/>
    <hyperlink ref="G129" r:id="rId116" display="http://127.0.0.1:63737/websquare/websquare.html?w2Config=/.settings/config.xml&amp;w2xPath=/WebContent/static/web/pub/W14_deleteRecoveryList.xml" xr:uid="{00000000-0004-0000-0000-000073000000}"/>
    <hyperlink ref="G130" r:id="rId117" display="http://127.0.0.1:63737/websquare/websquare.html?w2Config=/.settings/config.xml&amp;w2xPath=/WebContent/static/web/pub/W16_sendCustomerConsentRequest.xml" xr:uid="{00000000-0004-0000-0000-000074000000}"/>
    <hyperlink ref="G131" r:id="rId118" display="http://127.0.0.1:63737/websquare/websquare.html?w2Config=/.settings/config.xml&amp;w2xPath=/WebContent/static/web/pub/W17_confirmChanges.xml" xr:uid="{00000000-0004-0000-0000-000075000000}"/>
    <hyperlink ref="G132" r:id="rId119" display="http://127.0.0.1:63737/websquare/websquare.html?w2Config=/.settings/config.xml&amp;w2xPath=/WebContent/static/web/pub/W17_changeApplicationDocumentDetails.xml" xr:uid="{00000000-0004-0000-0000-000076000000}"/>
    <hyperlink ref="G133" r:id="rId120" display="http://127.0.0.1:63737/websquare/websquare.html?w2Config=/.settings/config.xml&amp;w2xPath=/WebContent/static/web/pub/W17_enterElectronicSignatureInformation.xml" xr:uid="{00000000-0004-0000-0000-000077000000}"/>
    <hyperlink ref="G134" r:id="rId121" display="http://127.0.0.1:63737/websquare/websquare.html?w2Config=/.settings/config.xml&amp;w2xPath=/WebContent/static/web/pub/W17_waitingElectronicSignatures.xml" xr:uid="{00000000-0004-0000-0000-000078000000}"/>
    <hyperlink ref="G135" r:id="rId122" display="http://127.0.0.1:63737/websquare/websquare.html?w2Config=/.settings/config.xml&amp;w2xPath=/WebContent/static/web/pub/W17_attachRequiredDocuments.xml" xr:uid="{00000000-0004-0000-0000-000079000000}"/>
    <hyperlink ref="G136" r:id="rId123" display="http://127.0.0.1:63737/websquare/websquare.html?w2Config=/.settings/config.xml&amp;w2xPath=/WebContent/static/web/pub/W17_changeCompleted.xml" xr:uid="{00000000-0004-0000-0000-00007A000000}"/>
    <hyperlink ref="G91" r:id="rId124" xr:uid="{00000000-0004-0000-0000-00007B000000}"/>
    <hyperlink ref="G105" r:id="rId125" xr:uid="{00000000-0004-0000-0000-00007C000000}"/>
    <hyperlink ref="G109" r:id="rId126" xr:uid="{00000000-0004-0000-0000-00007D000000}"/>
    <hyperlink ref="G110" r:id="rId127" xr:uid="{00000000-0004-0000-0000-00007E000000}"/>
    <hyperlink ref="G111" r:id="rId128" xr:uid="{00000000-0004-0000-0000-00007F000000}"/>
    <hyperlink ref="G112" r:id="rId129" xr:uid="{00000000-0004-0000-0000-000080000000}"/>
    <hyperlink ref="G113" r:id="rId130" xr:uid="{00000000-0004-0000-0000-000081000000}"/>
    <hyperlink ref="G114" r:id="rId131" xr:uid="{00000000-0004-0000-0000-000082000000}"/>
    <hyperlink ref="G115" r:id="rId132" xr:uid="{00000000-0004-0000-0000-000083000000}"/>
    <hyperlink ref="G116" r:id="rId133" xr:uid="{00000000-0004-0000-0000-000084000000}"/>
    <hyperlink ref="G117" r:id="rId134" xr:uid="{00000000-0004-0000-0000-000085000000}"/>
  </hyperlinks>
  <pageMargins left="0.7" right="0.7" top="0.75" bottom="0.75" header="0.3" footer="0.3"/>
  <pageSetup paperSize="9" orientation="portrait" horizontalDpi="1200" verticalDpi="1200" r:id="rId135"/>
  <drawing r:id="rId1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2022-03-07T02:11:17Z</dcterms:modified>
</cp:coreProperties>
</file>